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kog\Documents\UFSM\6º Semestre\Modelagem e Simulação\"/>
    </mc:Choice>
  </mc:AlternateContent>
  <bookViews>
    <workbookView xWindow="0" yWindow="0" windowWidth="20490" windowHeight="7755"/>
  </bookViews>
  <sheets>
    <sheet name="Planilha1" sheetId="1" r:id="rId1"/>
  </sheets>
  <definedNames>
    <definedName name="solver_adj" localSheetId="0" hidden="1">Planilha1!$C$12:$G$12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Planilha1!$C$12</definedName>
    <definedName name="solver_lhs10" localSheetId="0" hidden="1">Planilha1!$P$5</definedName>
    <definedName name="solver_lhs11" localSheetId="0" hidden="1">Planilha1!$P$6</definedName>
    <definedName name="solver_lhs12" localSheetId="0" hidden="1">Planilha1!$P$7</definedName>
    <definedName name="solver_lhs13" localSheetId="0" hidden="1">Planilha1!$P$8</definedName>
    <definedName name="solver_lhs14" localSheetId="0" hidden="1">Planilha1!$P$9</definedName>
    <definedName name="solver_lhs2" localSheetId="0" hidden="1">Planilha1!$C$12</definedName>
    <definedName name="solver_lhs3" localSheetId="0" hidden="1">Planilha1!$D$12</definedName>
    <definedName name="solver_lhs4" localSheetId="0" hidden="1">Planilha1!$D$12</definedName>
    <definedName name="solver_lhs5" localSheetId="0" hidden="1">Planilha1!$E$12</definedName>
    <definedName name="solver_lhs6" localSheetId="0" hidden="1">Planilha1!$E$12</definedName>
    <definedName name="solver_lhs7" localSheetId="0" hidden="1">Planilha1!$F$12</definedName>
    <definedName name="solver_lhs8" localSheetId="0" hidden="1">Planilha1!$F$12</definedName>
    <definedName name="solver_lhs9" localSheetId="0" hidden="1">Planilha1!$G$12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Planilha1!$G$13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2" localSheetId="0" hidden="1">3</definedName>
    <definedName name="solver_rel3" localSheetId="0" hidden="1">4</definedName>
    <definedName name="solver_rel4" localSheetId="0" hidden="1">3</definedName>
    <definedName name="solver_rel5" localSheetId="0" hidden="1">4</definedName>
    <definedName name="solver_rel6" localSheetId="0" hidden="1">3</definedName>
    <definedName name="solver_rel7" localSheetId="0" hidden="1">4</definedName>
    <definedName name="solver_rel8" localSheetId="0" hidden="1">3</definedName>
    <definedName name="solver_rel9" localSheetId="0" hidden="1">4</definedName>
    <definedName name="solver_rhs1" localSheetId="0" hidden="1">número inteiro</definedName>
    <definedName name="solver_rhs10" localSheetId="0" hidden="1">1850</definedName>
    <definedName name="solver_rhs11" localSheetId="0" hidden="1">1420</definedName>
    <definedName name="solver_rhs12" localSheetId="0" hidden="1">1635</definedName>
    <definedName name="solver_rhs13" localSheetId="0" hidden="1">1900</definedName>
    <definedName name="solver_rhs14" localSheetId="0" hidden="1">2100</definedName>
    <definedName name="solver_rhs2" localSheetId="0" hidden="1">300</definedName>
    <definedName name="solver_rhs3" localSheetId="0" hidden="1">número inteiro</definedName>
    <definedName name="solver_rhs4" localSheetId="0" hidden="1">300</definedName>
    <definedName name="solver_rhs5" localSheetId="0" hidden="1">número inteiro</definedName>
    <definedName name="solver_rhs6" localSheetId="0" hidden="1">300</definedName>
    <definedName name="solver_rhs7" localSheetId="0" hidden="1">número inteiro</definedName>
    <definedName name="solver_rhs8" localSheetId="0" hidden="1">300</definedName>
    <definedName name="solver_rhs9" localSheetId="0" hidden="1">número inteiro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5" i="1" l="1"/>
  <c r="O9" i="1"/>
  <c r="O8" i="1"/>
  <c r="O7" i="1"/>
  <c r="O6" i="1"/>
  <c r="N9" i="1"/>
  <c r="N8" i="1"/>
  <c r="N7" i="1"/>
  <c r="N6" i="1"/>
  <c r="M9" i="1"/>
  <c r="M8" i="1"/>
  <c r="M7" i="1"/>
  <c r="M6" i="1"/>
  <c r="M5" i="1"/>
  <c r="L9" i="1"/>
  <c r="L8" i="1"/>
  <c r="L7" i="1"/>
  <c r="L6" i="1"/>
  <c r="O5" i="1"/>
  <c r="N5" i="1"/>
  <c r="F13" i="1"/>
  <c r="E13" i="1"/>
  <c r="D13" i="1"/>
  <c r="C13" i="1"/>
  <c r="P5" i="1" l="1"/>
  <c r="P9" i="1"/>
  <c r="P7" i="1"/>
  <c r="G13" i="1"/>
  <c r="P8" i="1"/>
  <c r="P6" i="1"/>
</calcChain>
</file>

<file path=xl/sharedStrings.xml><?xml version="1.0" encoding="utf-8"?>
<sst xmlns="http://schemas.openxmlformats.org/spreadsheetml/2006/main" count="20" uniqueCount="14">
  <si>
    <t>FPS 10</t>
  </si>
  <si>
    <t>FPS 20</t>
  </si>
  <si>
    <t>FPS 30</t>
  </si>
  <si>
    <t>FPS 60</t>
  </si>
  <si>
    <t>Disponibilidade de matéria prima (mg)</t>
  </si>
  <si>
    <t>Total</t>
  </si>
  <si>
    <t>Matéria Prima</t>
  </si>
  <si>
    <t>Lucro</t>
  </si>
  <si>
    <t>x1</t>
  </si>
  <si>
    <t>x2</t>
  </si>
  <si>
    <t>x3</t>
  </si>
  <si>
    <t>x4</t>
  </si>
  <si>
    <t>Número de Prod.</t>
  </si>
  <si>
    <t>Para maximizar o lucro na produção dos protetores solares temos que produzir a seguinte quantidade de cada tipo: 1801 protetores de FPS10, 300 protetores de FPS20, 2987 protetores de FPS30 e 475 protetores de FPS60. Esse número de protetores totaliza um lucro total de R$ 100.313,50.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</si>
</sst>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2" fontId="0" fillId="0" borderId="0" xfId="0" applyNumberFormat="1" applyBorder="1"/>
    <xf numFmtId="0" fontId="0" fillId="0" borderId="1" xfId="0" applyBorder="1"/>
    <xf numFmtId="0" fontId="0" fillId="0" borderId="3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8"/>
  <sheetViews>
    <sheetView tabSelected="1" workbookViewId="0">
      <selection activeCell="I12" sqref="I12"/>
    </sheetView>
  </sheetViews>
  <sheetFormatPr defaultRowHeight="15" x14ac:dyDescent="0.25"/>
  <cols>
    <col min="2" max="2" width="15.28515625" customWidth="1"/>
    <col min="3" max="3" width="9.42578125" bestFit="1" customWidth="1"/>
    <col min="4" max="4" width="9.140625" bestFit="1" customWidth="1"/>
    <col min="5" max="5" width="9.42578125" bestFit="1" customWidth="1"/>
    <col min="6" max="6" width="9.140625" bestFit="1" customWidth="1"/>
    <col min="7" max="7" width="36" bestFit="1" customWidth="1"/>
    <col min="11" max="11" width="15.42578125" customWidth="1"/>
    <col min="12" max="16" width="9.140625" bestFit="1" customWidth="1"/>
  </cols>
  <sheetData>
    <row r="2" spans="2:16" x14ac:dyDescent="0.25">
      <c r="B2" s="8" t="s">
        <v>6</v>
      </c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16" x14ac:dyDescent="0.25">
      <c r="B3" s="10">
        <v>1</v>
      </c>
      <c r="C3" s="2">
        <v>0.5</v>
      </c>
      <c r="D3" s="2">
        <v>0.28000000000000003</v>
      </c>
      <c r="E3" s="2">
        <v>0.25</v>
      </c>
      <c r="F3" s="2">
        <v>0.25</v>
      </c>
      <c r="G3" s="5">
        <v>1850</v>
      </c>
      <c r="H3" s="1"/>
      <c r="I3" s="1"/>
      <c r="J3" s="1"/>
      <c r="K3" s="1"/>
      <c r="L3" s="1"/>
      <c r="M3" s="1"/>
      <c r="N3" s="1"/>
      <c r="O3" s="1"/>
      <c r="P3" s="1"/>
    </row>
    <row r="4" spans="2:16" x14ac:dyDescent="0.25">
      <c r="B4" s="10">
        <v>2</v>
      </c>
      <c r="C4" s="5">
        <v>0.25</v>
      </c>
      <c r="D4" s="5">
        <v>0.3</v>
      </c>
      <c r="E4" s="5">
        <v>0.25</v>
      </c>
      <c r="F4" s="5">
        <v>0.28000000000000003</v>
      </c>
      <c r="G4" s="5">
        <v>1420</v>
      </c>
      <c r="H4" s="1"/>
      <c r="I4" s="1"/>
      <c r="J4" s="1"/>
      <c r="K4" s="6" t="s">
        <v>6</v>
      </c>
      <c r="L4" s="6" t="s">
        <v>0</v>
      </c>
      <c r="M4" s="6" t="s">
        <v>1</v>
      </c>
      <c r="N4" s="6" t="s">
        <v>2</v>
      </c>
      <c r="O4" s="6" t="s">
        <v>3</v>
      </c>
      <c r="P4" s="6" t="s">
        <v>5</v>
      </c>
    </row>
    <row r="5" spans="2:16" x14ac:dyDescent="0.25">
      <c r="B5" s="10">
        <v>3</v>
      </c>
      <c r="C5" s="5">
        <v>0.35</v>
      </c>
      <c r="D5" s="5">
        <v>0.25</v>
      </c>
      <c r="E5" s="5">
        <v>0.23</v>
      </c>
      <c r="F5" s="5">
        <v>0.5</v>
      </c>
      <c r="G5" s="5">
        <v>1635</v>
      </c>
      <c r="H5" s="1"/>
      <c r="I5" s="1"/>
      <c r="J5" s="1"/>
      <c r="K5" s="7">
        <v>1</v>
      </c>
      <c r="L5" s="5">
        <f>C3*C12</f>
        <v>900.5</v>
      </c>
      <c r="M5" s="5">
        <f>D3*D12</f>
        <v>84.000000000000014</v>
      </c>
      <c r="N5" s="5">
        <f>E3*E12</f>
        <v>746.75</v>
      </c>
      <c r="O5" s="5">
        <f>F3*F12</f>
        <v>118.75</v>
      </c>
      <c r="P5" s="5">
        <f>SUM(L5:O5)</f>
        <v>1850</v>
      </c>
    </row>
    <row r="6" spans="2:16" x14ac:dyDescent="0.25">
      <c r="B6" s="10">
        <v>4</v>
      </c>
      <c r="C6" s="5">
        <v>0.25</v>
      </c>
      <c r="D6" s="5">
        <v>0.3</v>
      </c>
      <c r="E6" s="5">
        <v>0.32</v>
      </c>
      <c r="F6" s="5">
        <v>0.35</v>
      </c>
      <c r="G6" s="5">
        <v>1900</v>
      </c>
      <c r="H6" s="1"/>
      <c r="I6" s="1"/>
      <c r="J6" s="1"/>
      <c r="K6" s="7">
        <v>2</v>
      </c>
      <c r="L6" s="5">
        <f>C4*$C12</f>
        <v>450.25</v>
      </c>
      <c r="M6" s="5">
        <f>D4*D12</f>
        <v>90</v>
      </c>
      <c r="N6" s="5">
        <f>E4*E12</f>
        <v>746.75</v>
      </c>
      <c r="O6" s="5">
        <f>F4*F12</f>
        <v>133</v>
      </c>
      <c r="P6" s="5">
        <f>SUM(L6:O6)</f>
        <v>1420</v>
      </c>
    </row>
    <row r="7" spans="2:16" x14ac:dyDescent="0.25">
      <c r="B7" s="10">
        <v>5</v>
      </c>
      <c r="C7" s="5">
        <v>0.45</v>
      </c>
      <c r="D7" s="5">
        <v>0.5</v>
      </c>
      <c r="E7" s="5">
        <v>0.25</v>
      </c>
      <c r="F7" s="5">
        <v>0.47</v>
      </c>
      <c r="G7" s="5">
        <v>2100</v>
      </c>
      <c r="H7" s="1"/>
      <c r="I7" s="1"/>
      <c r="J7" s="1"/>
      <c r="K7" s="7">
        <v>3</v>
      </c>
      <c r="L7" s="5">
        <f>C5*C12</f>
        <v>630.34999999999991</v>
      </c>
      <c r="M7" s="5">
        <f>D5*D12</f>
        <v>75</v>
      </c>
      <c r="N7" s="5">
        <f>E5*E12</f>
        <v>687.01</v>
      </c>
      <c r="O7" s="5">
        <f>F5*F12</f>
        <v>237.5</v>
      </c>
      <c r="P7" s="5">
        <f>SUM(L7:O7)</f>
        <v>1629.86</v>
      </c>
    </row>
    <row r="8" spans="2:16" x14ac:dyDescent="0.25">
      <c r="B8" s="10" t="s">
        <v>7</v>
      </c>
      <c r="C8" s="5">
        <v>18.5</v>
      </c>
      <c r="D8" s="5">
        <v>18.2</v>
      </c>
      <c r="E8" s="5">
        <v>17.5</v>
      </c>
      <c r="F8" s="5">
        <v>19.5</v>
      </c>
      <c r="G8" s="5"/>
      <c r="H8" s="1"/>
      <c r="I8" s="1"/>
      <c r="J8" s="1"/>
      <c r="K8" s="7">
        <v>4</v>
      </c>
      <c r="L8" s="5">
        <f>C6*C12</f>
        <v>450.25</v>
      </c>
      <c r="M8" s="5">
        <f>D6*D12</f>
        <v>90</v>
      </c>
      <c r="N8" s="5">
        <f>E6*E12</f>
        <v>955.84</v>
      </c>
      <c r="O8" s="5">
        <f>F6*F12</f>
        <v>166.25</v>
      </c>
      <c r="P8" s="5">
        <f>SUM(L8:O8)</f>
        <v>1662.3400000000001</v>
      </c>
    </row>
    <row r="9" spans="2:16" x14ac:dyDescent="0.25">
      <c r="C9" s="1"/>
      <c r="D9" s="1"/>
      <c r="E9" s="1"/>
      <c r="F9" s="1"/>
      <c r="G9" s="1"/>
      <c r="H9" s="1"/>
      <c r="I9" s="1"/>
      <c r="J9" s="1"/>
      <c r="K9" s="7">
        <v>5</v>
      </c>
      <c r="L9" s="5">
        <f>C7*C12</f>
        <v>810.45</v>
      </c>
      <c r="M9" s="5">
        <f>D7*D12</f>
        <v>150</v>
      </c>
      <c r="N9" s="5">
        <f>E7*E12</f>
        <v>746.75</v>
      </c>
      <c r="O9" s="5">
        <f>F7*F12</f>
        <v>223.25</v>
      </c>
      <c r="P9" s="5">
        <f>SUM(L9:O9)</f>
        <v>1930.45</v>
      </c>
    </row>
    <row r="10" spans="2:16" x14ac:dyDescent="0.25">
      <c r="H10" s="1"/>
      <c r="I10" s="1"/>
      <c r="J10" s="1"/>
      <c r="K10" s="1"/>
      <c r="L10" s="1"/>
      <c r="M10" s="1"/>
      <c r="N10" s="1"/>
      <c r="O10" s="1"/>
      <c r="P10" s="1"/>
    </row>
    <row r="11" spans="2:16" x14ac:dyDescent="0.25">
      <c r="B11" s="3"/>
      <c r="C11" s="6" t="s">
        <v>8</v>
      </c>
      <c r="D11" s="8" t="s">
        <v>9</v>
      </c>
      <c r="E11" s="8" t="s">
        <v>10</v>
      </c>
      <c r="F11" s="8" t="s">
        <v>11</v>
      </c>
      <c r="G11" s="3"/>
      <c r="H11" s="1"/>
      <c r="I11" s="1"/>
      <c r="J11" s="1"/>
      <c r="K11" s="1"/>
      <c r="L11" s="1"/>
      <c r="M11" s="1"/>
      <c r="N11" s="1"/>
      <c r="O11" s="1"/>
      <c r="P11" s="1"/>
    </row>
    <row r="12" spans="2:16" x14ac:dyDescent="0.25">
      <c r="B12" s="3" t="s">
        <v>12</v>
      </c>
      <c r="C12" s="9">
        <v>1801</v>
      </c>
      <c r="D12" s="9">
        <v>300</v>
      </c>
      <c r="E12" s="9">
        <v>2987</v>
      </c>
      <c r="F12" s="9">
        <v>475</v>
      </c>
      <c r="G12" s="9">
        <v>5563</v>
      </c>
    </row>
    <row r="13" spans="2:16" x14ac:dyDescent="0.25">
      <c r="B13" s="3" t="s">
        <v>7</v>
      </c>
      <c r="C13" s="5">
        <f>C8 * C12</f>
        <v>33318.5</v>
      </c>
      <c r="D13" s="5">
        <f>D8 * D12</f>
        <v>5460</v>
      </c>
      <c r="E13" s="5">
        <f>E8 * E12</f>
        <v>52272.5</v>
      </c>
      <c r="F13" s="5">
        <f>F8 * F12</f>
        <v>9262.5</v>
      </c>
      <c r="G13" s="5">
        <f>SUM(C13:F13)</f>
        <v>100313.5</v>
      </c>
    </row>
    <row r="14" spans="2:16" ht="15.75" thickBot="1" x14ac:dyDescent="0.3"/>
    <row r="15" spans="2:16" ht="15" customHeight="1" x14ac:dyDescent="0.25">
      <c r="B15" s="12" t="s">
        <v>13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</row>
    <row r="16" spans="2:16" x14ac:dyDescent="0.25">
      <c r="B16" s="1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6"/>
    </row>
    <row r="17" spans="2:14" x14ac:dyDescent="0.25">
      <c r="B17" s="1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6"/>
    </row>
    <row r="18" spans="2:14" ht="15.75" thickBot="1" x14ac:dyDescent="0.3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</row>
  </sheetData>
  <mergeCells count="1">
    <mergeCell ref="B15:N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Rodrigues</dc:creator>
  <cp:lastModifiedBy>Frederico Gassen</cp:lastModifiedBy>
  <dcterms:created xsi:type="dcterms:W3CDTF">2019-09-12T13:40:09Z</dcterms:created>
  <dcterms:modified xsi:type="dcterms:W3CDTF">2019-09-17T13:52:42Z</dcterms:modified>
</cp:coreProperties>
</file>