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ikog\Documents\UFSM\6º Semestre\Modelagem e Simulação\"/>
    </mc:Choice>
  </mc:AlternateContent>
  <bookViews>
    <workbookView xWindow="0" yWindow="0" windowWidth="20490" windowHeight="7755" activeTab="1"/>
  </bookViews>
  <sheets>
    <sheet name="Orientada a eventos" sheetId="1" r:id="rId1"/>
    <sheet name="Orientada a processos" sheetId="3" r:id="rId2"/>
    <sheet name="Plan2" sheetId="2" state="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3" l="1"/>
  <c r="F3" i="3" s="1"/>
  <c r="G3" i="3" s="1"/>
  <c r="G2" i="3"/>
  <c r="J33" i="1"/>
  <c r="C18" i="1"/>
  <c r="J24" i="1"/>
  <c r="E24" i="1" s="1"/>
  <c r="J25" i="1"/>
  <c r="E25" i="1" s="1"/>
  <c r="J26" i="1"/>
  <c r="E26" i="1" s="1"/>
  <c r="J27" i="1"/>
  <c r="E27" i="1" s="1"/>
  <c r="J28" i="1"/>
  <c r="E28" i="1" s="1"/>
  <c r="J29" i="1"/>
  <c r="E29" i="1" s="1"/>
  <c r="J30" i="1"/>
  <c r="E30" i="1" s="1"/>
  <c r="J31" i="1"/>
  <c r="E31" i="1" s="1"/>
  <c r="J32" i="1"/>
  <c r="E32" i="1" s="1"/>
  <c r="E4" i="1"/>
  <c r="E6" i="1"/>
  <c r="E8" i="1"/>
  <c r="E9" i="1"/>
  <c r="E10" i="1"/>
  <c r="E12" i="1"/>
  <c r="E13" i="1"/>
  <c r="E15" i="1"/>
  <c r="E16" i="1"/>
  <c r="E17" i="1"/>
  <c r="E19" i="1"/>
  <c r="E20" i="1"/>
  <c r="E21" i="1"/>
  <c r="E23" i="1"/>
  <c r="E3" i="1"/>
  <c r="D3" i="3" l="1"/>
  <c r="E3" i="3" s="1"/>
  <c r="F4" i="3" s="1"/>
  <c r="G4" i="3" l="1"/>
  <c r="D4" i="3"/>
  <c r="E4" i="3" s="1"/>
  <c r="F5" i="3" s="1"/>
  <c r="G5" i="3" l="1"/>
  <c r="D5" i="3"/>
  <c r="E5" i="3" s="1"/>
  <c r="F6" i="3" s="1"/>
  <c r="G6" i="3" l="1"/>
  <c r="D6" i="3"/>
  <c r="E6" i="3" s="1"/>
  <c r="F7" i="3" s="1"/>
  <c r="G7" i="3" l="1"/>
  <c r="D7" i="3"/>
  <c r="E7" i="3" s="1"/>
  <c r="F8" i="3" s="1"/>
  <c r="G8" i="3" l="1"/>
  <c r="D8" i="3"/>
  <c r="E8" i="3" s="1"/>
  <c r="F9" i="3" s="1"/>
  <c r="G9" i="3" l="1"/>
  <c r="D9" i="3"/>
  <c r="E9" i="3" s="1"/>
  <c r="F10" i="3" s="1"/>
  <c r="G10" i="3" l="1"/>
  <c r="D10" i="3"/>
  <c r="E10" i="3" s="1"/>
  <c r="F11" i="3" s="1"/>
  <c r="G11" i="3" l="1"/>
  <c r="D11" i="3"/>
  <c r="E11" i="3" s="1"/>
  <c r="F12" i="3" s="1"/>
  <c r="G12" i="3" l="1"/>
  <c r="D12" i="3"/>
  <c r="E12" i="3" s="1"/>
  <c r="F13" i="3" s="1"/>
  <c r="G13" i="3" l="1"/>
  <c r="D13" i="3"/>
  <c r="E13" i="3" s="1"/>
  <c r="F14" i="3" s="1"/>
  <c r="G14" i="3" l="1"/>
  <c r="D14" i="3"/>
  <c r="E14" i="3" s="1"/>
  <c r="F15" i="3" s="1"/>
  <c r="G15" i="3" l="1"/>
  <c r="D15" i="3"/>
  <c r="E15" i="3" s="1"/>
  <c r="F16" i="3" s="1"/>
  <c r="G16" i="3" l="1"/>
  <c r="D16" i="3"/>
  <c r="E16" i="3" s="1"/>
</calcChain>
</file>

<file path=xl/sharedStrings.xml><?xml version="1.0" encoding="utf-8"?>
<sst xmlns="http://schemas.openxmlformats.org/spreadsheetml/2006/main" count="149" uniqueCount="25">
  <si>
    <t>Cliente</t>
  </si>
  <si>
    <t>Tempo de chegada</t>
  </si>
  <si>
    <t>Tempo de serviço</t>
  </si>
  <si>
    <t>Tempo de Evento</t>
  </si>
  <si>
    <t>Tipo de Evento</t>
  </si>
  <si>
    <t>Nº de clientes na fila</t>
  </si>
  <si>
    <t>Tempo de espera na fila</t>
  </si>
  <si>
    <t>Tempo de permanência no sistema</t>
  </si>
  <si>
    <t>Estado do atendente</t>
  </si>
  <si>
    <t>Tempo ocupado do atendente</t>
  </si>
  <si>
    <t>-</t>
  </si>
  <si>
    <t>INÍCIO</t>
  </si>
  <si>
    <t>LIVRE</t>
  </si>
  <si>
    <t>CHEGADA</t>
  </si>
  <si>
    <t>OCUPADO</t>
  </si>
  <si>
    <t>SAÍDA</t>
  </si>
  <si>
    <t>Média:</t>
  </si>
  <si>
    <t>Resultado</t>
  </si>
  <si>
    <t>Tempo de permanência média:</t>
  </si>
  <si>
    <t>Tempo ocupado: 90,36%</t>
  </si>
  <si>
    <t>Tserviço</t>
  </si>
  <si>
    <t>Tempo total gasto</t>
  </si>
  <si>
    <t>Tempo de saída da sala</t>
  </si>
  <si>
    <t>Tempo de entrada em atendimento</t>
  </si>
  <si>
    <t>Tempo de Chegada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</si>
</sst>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166" fontId="0" fillId="0" borderId="0" xfId="0" applyNumberFormat="1"/>
    <xf numFmtId="0" fontId="1" fillId="0" borderId="1" xfId="0" applyFont="1" applyBorder="1"/>
    <xf numFmtId="0" fontId="0" fillId="0" borderId="1" xfId="0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0" fontId="1" fillId="0" borderId="1" xfId="0" applyNumberFormat="1" applyFont="1" applyBorder="1"/>
    <xf numFmtId="0" fontId="2" fillId="0" borderId="0" xfId="1" applyFont="1" applyAlignment="1"/>
    <xf numFmtId="0" fontId="3" fillId="0" borderId="1" xfId="1" applyFont="1" applyBorder="1" applyAlignment="1">
      <alignment horizontal="center"/>
    </xf>
    <xf numFmtId="166" fontId="3" fillId="0" borderId="1" xfId="1" applyNumberFormat="1" applyFont="1" applyBorder="1" applyAlignment="1">
      <alignment horizontal="center"/>
    </xf>
    <xf numFmtId="166" fontId="4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B7" zoomScale="85" zoomScaleNormal="85" workbookViewId="0">
      <selection activeCell="I6" sqref="I6"/>
    </sheetView>
  </sheetViews>
  <sheetFormatPr defaultRowHeight="15" x14ac:dyDescent="0.25"/>
  <cols>
    <col min="1" max="1" width="7.42578125" bestFit="1" customWidth="1"/>
    <col min="2" max="2" width="17.85546875" bestFit="1" customWidth="1"/>
    <col min="3" max="3" width="16.7109375" bestFit="1" customWidth="1"/>
    <col min="5" max="5" width="17" bestFit="1" customWidth="1"/>
    <col min="6" max="6" width="7.7109375" bestFit="1" customWidth="1"/>
    <col min="7" max="7" width="14.7109375" bestFit="1" customWidth="1"/>
    <col min="8" max="8" width="21" bestFit="1" customWidth="1"/>
    <col min="9" max="9" width="24.140625" bestFit="1" customWidth="1"/>
    <col min="10" max="10" width="34.5703125" bestFit="1" customWidth="1"/>
    <col min="11" max="11" width="20.7109375" bestFit="1" customWidth="1"/>
    <col min="12" max="12" width="29.425781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0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25">
      <c r="A2" s="3">
        <v>1</v>
      </c>
      <c r="B2" s="4">
        <v>15</v>
      </c>
      <c r="C2" s="4">
        <v>11.5</v>
      </c>
      <c r="E2" s="4">
        <v>0</v>
      </c>
      <c r="F2" s="5" t="s">
        <v>10</v>
      </c>
      <c r="G2" s="5" t="s">
        <v>11</v>
      </c>
      <c r="H2" s="5" t="s">
        <v>10</v>
      </c>
      <c r="I2" s="5" t="s">
        <v>10</v>
      </c>
      <c r="J2" s="5" t="s">
        <v>10</v>
      </c>
      <c r="K2" s="5" t="s">
        <v>12</v>
      </c>
      <c r="L2" s="5" t="s">
        <v>10</v>
      </c>
    </row>
    <row r="3" spans="1:12" x14ac:dyDescent="0.25">
      <c r="A3" s="3">
        <v>2</v>
      </c>
      <c r="B3" s="4">
        <v>22.4</v>
      </c>
      <c r="C3" s="4">
        <v>8.6999999999999993</v>
      </c>
      <c r="E3" s="4">
        <f>VALUE(B2)</f>
        <v>15</v>
      </c>
      <c r="F3" s="5">
        <v>1</v>
      </c>
      <c r="G3" s="5" t="s">
        <v>13</v>
      </c>
      <c r="H3" s="5">
        <v>0</v>
      </c>
      <c r="I3" s="6">
        <v>0</v>
      </c>
      <c r="J3" s="5" t="s">
        <v>10</v>
      </c>
      <c r="K3" s="5" t="s">
        <v>14</v>
      </c>
      <c r="L3" s="5" t="s">
        <v>10</v>
      </c>
    </row>
    <row r="4" spans="1:12" x14ac:dyDescent="0.25">
      <c r="A4" s="3">
        <v>3</v>
      </c>
      <c r="B4" s="4">
        <v>31.5</v>
      </c>
      <c r="C4" s="4">
        <v>9.3000000000000007</v>
      </c>
      <c r="E4" s="4">
        <f>VALUE(B3)</f>
        <v>22.4</v>
      </c>
      <c r="F4" s="5">
        <v>2</v>
      </c>
      <c r="G4" s="5" t="s">
        <v>13</v>
      </c>
      <c r="H4" s="5">
        <v>1</v>
      </c>
      <c r="I4" s="6">
        <v>4.0999999999999996</v>
      </c>
      <c r="J4" s="5" t="s">
        <v>10</v>
      </c>
      <c r="K4" s="5" t="s">
        <v>14</v>
      </c>
      <c r="L4" s="5" t="s">
        <v>10</v>
      </c>
    </row>
    <row r="5" spans="1:12" x14ac:dyDescent="0.25">
      <c r="A5" s="3">
        <v>4</v>
      </c>
      <c r="B5" s="4">
        <v>40</v>
      </c>
      <c r="C5" s="4">
        <v>10.5</v>
      </c>
      <c r="E5" s="4">
        <v>26.5</v>
      </c>
      <c r="F5" s="5">
        <v>1</v>
      </c>
      <c r="G5" s="7" t="s">
        <v>15</v>
      </c>
      <c r="H5" s="5">
        <v>0</v>
      </c>
      <c r="I5" s="5" t="s">
        <v>10</v>
      </c>
      <c r="J5" s="5">
        <v>11.5</v>
      </c>
      <c r="K5" s="5" t="s">
        <v>14</v>
      </c>
      <c r="L5" s="5" t="s">
        <v>10</v>
      </c>
    </row>
    <row r="6" spans="1:12" x14ac:dyDescent="0.25">
      <c r="A6" s="3">
        <v>5</v>
      </c>
      <c r="B6" s="4">
        <v>42.8</v>
      </c>
      <c r="C6" s="4">
        <v>8.6</v>
      </c>
      <c r="E6" s="4">
        <f>VALUE(B4)</f>
        <v>31.5</v>
      </c>
      <c r="F6" s="5">
        <v>3</v>
      </c>
      <c r="G6" s="5" t="s">
        <v>13</v>
      </c>
      <c r="H6" s="5">
        <v>1</v>
      </c>
      <c r="I6" s="6">
        <v>3.7</v>
      </c>
      <c r="J6" s="5" t="s">
        <v>10</v>
      </c>
      <c r="K6" s="5" t="s">
        <v>14</v>
      </c>
      <c r="L6" s="5" t="s">
        <v>10</v>
      </c>
    </row>
    <row r="7" spans="1:12" x14ac:dyDescent="0.25">
      <c r="A7" s="3">
        <v>6</v>
      </c>
      <c r="B7" s="4">
        <v>43</v>
      </c>
      <c r="C7" s="4">
        <v>9.8000000000000007</v>
      </c>
      <c r="E7" s="4">
        <v>35.200000000000003</v>
      </c>
      <c r="F7" s="5">
        <v>2</v>
      </c>
      <c r="G7" s="7" t="s">
        <v>15</v>
      </c>
      <c r="H7" s="5">
        <v>0</v>
      </c>
      <c r="I7" s="5" t="s">
        <v>10</v>
      </c>
      <c r="J7" s="5">
        <v>12.8</v>
      </c>
      <c r="K7" s="5" t="s">
        <v>14</v>
      </c>
      <c r="L7" s="5" t="s">
        <v>10</v>
      </c>
    </row>
    <row r="8" spans="1:12" x14ac:dyDescent="0.25">
      <c r="A8" s="3">
        <v>7</v>
      </c>
      <c r="B8" s="4">
        <v>48.4</v>
      </c>
      <c r="C8" s="4">
        <v>8.6999999999999993</v>
      </c>
      <c r="E8" s="4">
        <f>VALUE(B5)</f>
        <v>40</v>
      </c>
      <c r="F8" s="5">
        <v>4</v>
      </c>
      <c r="G8" s="5" t="s">
        <v>13</v>
      </c>
      <c r="H8" s="5">
        <v>1</v>
      </c>
      <c r="I8" s="6">
        <v>4.5</v>
      </c>
      <c r="J8" s="5" t="s">
        <v>10</v>
      </c>
      <c r="K8" s="5" t="s">
        <v>14</v>
      </c>
      <c r="L8" s="5" t="s">
        <v>10</v>
      </c>
    </row>
    <row r="9" spans="1:12" x14ac:dyDescent="0.25">
      <c r="A9" s="3">
        <v>8</v>
      </c>
      <c r="B9" s="4">
        <v>50.5</v>
      </c>
      <c r="C9" s="4">
        <v>9.5</v>
      </c>
      <c r="E9" s="4">
        <f>VALUE(B6)</f>
        <v>42.8</v>
      </c>
      <c r="F9" s="5">
        <v>5</v>
      </c>
      <c r="G9" s="5" t="s">
        <v>13</v>
      </c>
      <c r="H9" s="5">
        <v>2</v>
      </c>
      <c r="I9" s="6">
        <v>12.2</v>
      </c>
      <c r="J9" s="5" t="s">
        <v>10</v>
      </c>
      <c r="K9" s="5" t="s">
        <v>14</v>
      </c>
      <c r="L9" s="5" t="s">
        <v>10</v>
      </c>
    </row>
    <row r="10" spans="1:12" x14ac:dyDescent="0.25">
      <c r="A10" s="3">
        <v>9</v>
      </c>
      <c r="B10" s="4">
        <v>55.8</v>
      </c>
      <c r="C10" s="4">
        <v>9</v>
      </c>
      <c r="E10" s="4">
        <f>VALUE(B7)</f>
        <v>43</v>
      </c>
      <c r="F10" s="5">
        <v>6</v>
      </c>
      <c r="G10" s="5" t="s">
        <v>13</v>
      </c>
      <c r="H10" s="5">
        <v>3</v>
      </c>
      <c r="I10" s="6">
        <v>20.6</v>
      </c>
      <c r="J10" s="5" t="s">
        <v>10</v>
      </c>
      <c r="K10" s="5" t="s">
        <v>14</v>
      </c>
      <c r="L10" s="5" t="s">
        <v>10</v>
      </c>
    </row>
    <row r="11" spans="1:12" x14ac:dyDescent="0.25">
      <c r="A11" s="3">
        <v>10</v>
      </c>
      <c r="B11" s="4">
        <v>58</v>
      </c>
      <c r="C11" s="4">
        <v>10</v>
      </c>
      <c r="E11" s="4">
        <v>44.5</v>
      </c>
      <c r="F11" s="5">
        <v>3</v>
      </c>
      <c r="G11" s="7" t="s">
        <v>15</v>
      </c>
      <c r="H11" s="5">
        <v>2</v>
      </c>
      <c r="I11" s="5" t="s">
        <v>10</v>
      </c>
      <c r="J11" s="5">
        <v>13</v>
      </c>
      <c r="K11" s="5" t="s">
        <v>14</v>
      </c>
      <c r="L11" s="5" t="s">
        <v>10</v>
      </c>
    </row>
    <row r="12" spans="1:12" x14ac:dyDescent="0.25">
      <c r="A12" s="3">
        <v>11</v>
      </c>
      <c r="B12" s="4">
        <v>61</v>
      </c>
      <c r="C12" s="4">
        <v>8.3000000000000007</v>
      </c>
      <c r="E12" s="4">
        <f>VALUE(B8)</f>
        <v>48.4</v>
      </c>
      <c r="F12" s="5">
        <v>7</v>
      </c>
      <c r="G12" s="5" t="s">
        <v>13</v>
      </c>
      <c r="H12" s="5">
        <v>3</v>
      </c>
      <c r="I12" s="6">
        <v>25</v>
      </c>
      <c r="J12" s="5" t="s">
        <v>10</v>
      </c>
      <c r="K12" s="5" t="s">
        <v>14</v>
      </c>
      <c r="L12" s="5" t="s">
        <v>10</v>
      </c>
    </row>
    <row r="13" spans="1:12" x14ac:dyDescent="0.25">
      <c r="A13" s="3">
        <v>12</v>
      </c>
      <c r="B13" s="4">
        <v>64.5</v>
      </c>
      <c r="C13" s="4">
        <v>8.1999999999999993</v>
      </c>
      <c r="E13" s="4">
        <f>VALUE(B9)</f>
        <v>50.5</v>
      </c>
      <c r="F13" s="5">
        <v>8</v>
      </c>
      <c r="G13" s="5" t="s">
        <v>13</v>
      </c>
      <c r="H13" s="5">
        <v>4</v>
      </c>
      <c r="I13" s="6">
        <v>31.6</v>
      </c>
      <c r="J13" s="5" t="s">
        <v>10</v>
      </c>
      <c r="K13" s="5" t="s">
        <v>14</v>
      </c>
      <c r="L13" s="5" t="s">
        <v>10</v>
      </c>
    </row>
    <row r="14" spans="1:12" x14ac:dyDescent="0.25">
      <c r="A14" s="3">
        <v>13</v>
      </c>
      <c r="B14" s="4">
        <v>67</v>
      </c>
      <c r="C14" s="4">
        <v>9.5</v>
      </c>
      <c r="E14" s="4">
        <v>55</v>
      </c>
      <c r="F14" s="5">
        <v>4</v>
      </c>
      <c r="G14" s="7" t="s">
        <v>15</v>
      </c>
      <c r="H14" s="5">
        <v>3</v>
      </c>
      <c r="I14" s="5" t="s">
        <v>10</v>
      </c>
      <c r="J14" s="5">
        <v>15</v>
      </c>
      <c r="K14" s="5" t="s">
        <v>14</v>
      </c>
      <c r="L14" s="5" t="s">
        <v>10</v>
      </c>
    </row>
    <row r="15" spans="1:12" x14ac:dyDescent="0.25">
      <c r="A15" s="3">
        <v>14</v>
      </c>
      <c r="B15" s="4">
        <v>71</v>
      </c>
      <c r="C15" s="4">
        <v>9.8000000000000007</v>
      </c>
      <c r="E15" s="4">
        <f>VALUE(B10)</f>
        <v>55.8</v>
      </c>
      <c r="F15" s="5">
        <v>9</v>
      </c>
      <c r="G15" s="5" t="s">
        <v>13</v>
      </c>
      <c r="H15" s="5">
        <v>4</v>
      </c>
      <c r="I15" s="6">
        <v>35.799999999999997</v>
      </c>
      <c r="J15" s="5" t="s">
        <v>10</v>
      </c>
      <c r="K15" s="5" t="s">
        <v>14</v>
      </c>
      <c r="L15" s="5" t="s">
        <v>10</v>
      </c>
    </row>
    <row r="16" spans="1:12" x14ac:dyDescent="0.25">
      <c r="A16" s="3">
        <v>15</v>
      </c>
      <c r="B16" s="4">
        <v>75</v>
      </c>
      <c r="C16" s="4">
        <v>9.1999999999999993</v>
      </c>
      <c r="E16" s="4">
        <f>VALUE(B11)</f>
        <v>58</v>
      </c>
      <c r="F16" s="5">
        <v>10</v>
      </c>
      <c r="G16" s="5" t="s">
        <v>13</v>
      </c>
      <c r="H16" s="5">
        <v>5</v>
      </c>
      <c r="I16" s="6">
        <v>42.6</v>
      </c>
      <c r="J16" s="5" t="s">
        <v>10</v>
      </c>
      <c r="K16" s="5" t="s">
        <v>14</v>
      </c>
      <c r="L16" s="5" t="s">
        <v>10</v>
      </c>
    </row>
    <row r="17" spans="2:12" x14ac:dyDescent="0.25">
      <c r="E17" s="4">
        <f>VALUE(B12)</f>
        <v>61</v>
      </c>
      <c r="F17" s="5">
        <v>11</v>
      </c>
      <c r="G17" s="5" t="s">
        <v>13</v>
      </c>
      <c r="H17" s="5">
        <v>6</v>
      </c>
      <c r="I17" s="6">
        <v>49.6</v>
      </c>
      <c r="J17" s="5" t="s">
        <v>10</v>
      </c>
      <c r="K17" s="5" t="s">
        <v>14</v>
      </c>
      <c r="L17" s="5" t="s">
        <v>10</v>
      </c>
    </row>
    <row r="18" spans="2:12" x14ac:dyDescent="0.25">
      <c r="B18" s="8" t="s">
        <v>16</v>
      </c>
      <c r="C18" s="1">
        <f>AVERAGE(C2:C16)</f>
        <v>9.3733333333333331</v>
      </c>
      <c r="E18" s="4">
        <v>63.6</v>
      </c>
      <c r="F18" s="5">
        <v>5</v>
      </c>
      <c r="G18" s="7" t="s">
        <v>15</v>
      </c>
      <c r="H18" s="5">
        <v>5</v>
      </c>
      <c r="I18" s="5" t="s">
        <v>10</v>
      </c>
      <c r="J18" s="5">
        <v>20.8</v>
      </c>
      <c r="K18" s="5" t="s">
        <v>14</v>
      </c>
      <c r="L18" s="5" t="s">
        <v>10</v>
      </c>
    </row>
    <row r="19" spans="2:12" x14ac:dyDescent="0.25">
      <c r="E19" s="4">
        <f>VALUE(B13)</f>
        <v>64.5</v>
      </c>
      <c r="F19" s="5">
        <v>12</v>
      </c>
      <c r="G19" s="5" t="s">
        <v>13</v>
      </c>
      <c r="H19" s="5">
        <v>6</v>
      </c>
      <c r="I19" s="6">
        <v>54.4</v>
      </c>
      <c r="J19" s="5" t="s">
        <v>10</v>
      </c>
      <c r="K19" s="5" t="s">
        <v>14</v>
      </c>
      <c r="L19" s="5" t="s">
        <v>10</v>
      </c>
    </row>
    <row r="20" spans="2:12" x14ac:dyDescent="0.25">
      <c r="E20" s="4">
        <f>VALUE(B14)</f>
        <v>67</v>
      </c>
      <c r="F20" s="5">
        <v>13</v>
      </c>
      <c r="G20" s="5" t="s">
        <v>13</v>
      </c>
      <c r="H20" s="5">
        <v>7</v>
      </c>
      <c r="I20" s="6">
        <v>60.1</v>
      </c>
      <c r="J20" s="5" t="s">
        <v>10</v>
      </c>
      <c r="K20" s="5" t="s">
        <v>14</v>
      </c>
      <c r="L20" s="5" t="s">
        <v>10</v>
      </c>
    </row>
    <row r="21" spans="2:12" x14ac:dyDescent="0.25">
      <c r="E21" s="4">
        <f>VALUE(B15)</f>
        <v>71</v>
      </c>
      <c r="F21" s="5">
        <v>14</v>
      </c>
      <c r="G21" s="5" t="s">
        <v>13</v>
      </c>
      <c r="H21" s="5">
        <v>8</v>
      </c>
      <c r="I21" s="6">
        <v>65.599999999999994</v>
      </c>
      <c r="J21" s="5" t="s">
        <v>10</v>
      </c>
      <c r="K21" s="5" t="s">
        <v>14</v>
      </c>
      <c r="L21" s="5" t="s">
        <v>10</v>
      </c>
    </row>
    <row r="22" spans="2:12" x14ac:dyDescent="0.25">
      <c r="E22" s="4">
        <v>73.400000000000006</v>
      </c>
      <c r="F22" s="5">
        <v>6</v>
      </c>
      <c r="G22" s="7" t="s">
        <v>15</v>
      </c>
      <c r="H22" s="5">
        <v>7</v>
      </c>
      <c r="I22" s="5" t="s">
        <v>10</v>
      </c>
      <c r="J22" s="5">
        <v>30.4</v>
      </c>
      <c r="K22" s="5" t="s">
        <v>14</v>
      </c>
      <c r="L22" s="5" t="s">
        <v>10</v>
      </c>
    </row>
    <row r="23" spans="2:12" x14ac:dyDescent="0.25">
      <c r="E23" s="4">
        <f>VALUE(B16)</f>
        <v>75</v>
      </c>
      <c r="F23" s="5">
        <v>15</v>
      </c>
      <c r="G23" s="5" t="s">
        <v>13</v>
      </c>
      <c r="H23" s="5">
        <v>8</v>
      </c>
      <c r="I23" s="6">
        <v>71.400000000000006</v>
      </c>
      <c r="J23" s="5" t="s">
        <v>10</v>
      </c>
      <c r="K23" s="5" t="s">
        <v>14</v>
      </c>
      <c r="L23" s="5" t="s">
        <v>10</v>
      </c>
    </row>
    <row r="24" spans="2:12" x14ac:dyDescent="0.25">
      <c r="E24" s="4">
        <f>SUM(B8,J24)</f>
        <v>82.1</v>
      </c>
      <c r="F24" s="7">
        <v>7</v>
      </c>
      <c r="G24" s="7" t="s">
        <v>15</v>
      </c>
      <c r="H24" s="5">
        <v>7</v>
      </c>
      <c r="I24" s="5" t="s">
        <v>10</v>
      </c>
      <c r="J24" s="6">
        <f>SUM(C8,I12)</f>
        <v>33.700000000000003</v>
      </c>
      <c r="K24" s="5" t="s">
        <v>14</v>
      </c>
      <c r="L24" s="5" t="s">
        <v>10</v>
      </c>
    </row>
    <row r="25" spans="2:12" x14ac:dyDescent="0.25">
      <c r="E25" s="4">
        <f>SUM(B9,J25)</f>
        <v>91.6</v>
      </c>
      <c r="F25" s="7">
        <v>8</v>
      </c>
      <c r="G25" s="7" t="s">
        <v>15</v>
      </c>
      <c r="H25" s="5">
        <v>6</v>
      </c>
      <c r="I25" s="5" t="s">
        <v>10</v>
      </c>
      <c r="J25" s="6">
        <f>SUM(C9,I13)</f>
        <v>41.1</v>
      </c>
      <c r="K25" s="5" t="s">
        <v>14</v>
      </c>
      <c r="L25" s="5" t="s">
        <v>10</v>
      </c>
    </row>
    <row r="26" spans="2:12" x14ac:dyDescent="0.25">
      <c r="E26" s="4">
        <f>SUM(B10,J26)</f>
        <v>100.6</v>
      </c>
      <c r="F26" s="7">
        <v>9</v>
      </c>
      <c r="G26" s="7" t="s">
        <v>15</v>
      </c>
      <c r="H26" s="5">
        <v>5</v>
      </c>
      <c r="I26" s="5" t="s">
        <v>10</v>
      </c>
      <c r="J26" s="6">
        <f>SUM(C10,I15)</f>
        <v>44.8</v>
      </c>
      <c r="K26" s="5" t="s">
        <v>14</v>
      </c>
      <c r="L26" s="5" t="s">
        <v>10</v>
      </c>
    </row>
    <row r="27" spans="2:12" x14ac:dyDescent="0.25">
      <c r="E27" s="4">
        <f>SUM(B11,J27)</f>
        <v>110.6</v>
      </c>
      <c r="F27" s="7">
        <v>10</v>
      </c>
      <c r="G27" s="7" t="s">
        <v>15</v>
      </c>
      <c r="H27" s="5">
        <v>4</v>
      </c>
      <c r="I27" s="5" t="s">
        <v>10</v>
      </c>
      <c r="J27" s="6">
        <f>SUM(C11,I16)</f>
        <v>52.6</v>
      </c>
      <c r="K27" s="5" t="s">
        <v>14</v>
      </c>
      <c r="L27" s="5" t="s">
        <v>10</v>
      </c>
    </row>
    <row r="28" spans="2:12" x14ac:dyDescent="0.25">
      <c r="E28" s="4">
        <f>SUM(B12,J28)</f>
        <v>118.9</v>
      </c>
      <c r="F28" s="7">
        <v>11</v>
      </c>
      <c r="G28" s="7" t="s">
        <v>15</v>
      </c>
      <c r="H28" s="5">
        <v>3</v>
      </c>
      <c r="I28" s="5" t="s">
        <v>10</v>
      </c>
      <c r="J28" s="6">
        <f>SUM(C12,I17)</f>
        <v>57.900000000000006</v>
      </c>
      <c r="K28" s="5" t="s">
        <v>14</v>
      </c>
      <c r="L28" s="5" t="s">
        <v>10</v>
      </c>
    </row>
    <row r="29" spans="2:12" x14ac:dyDescent="0.25">
      <c r="E29" s="4">
        <f>SUM(B13,J29)</f>
        <v>127.1</v>
      </c>
      <c r="F29" s="7">
        <v>12</v>
      </c>
      <c r="G29" s="7" t="s">
        <v>15</v>
      </c>
      <c r="H29" s="5">
        <v>2</v>
      </c>
      <c r="I29" s="5" t="s">
        <v>10</v>
      </c>
      <c r="J29" s="6">
        <f>SUM(C13,I19)</f>
        <v>62.599999999999994</v>
      </c>
      <c r="K29" s="5" t="s">
        <v>14</v>
      </c>
      <c r="L29" s="5" t="s">
        <v>10</v>
      </c>
    </row>
    <row r="30" spans="2:12" x14ac:dyDescent="0.25">
      <c r="E30" s="4">
        <f>SUM(B14,J30)</f>
        <v>136.6</v>
      </c>
      <c r="F30" s="7">
        <v>13</v>
      </c>
      <c r="G30" s="7" t="s">
        <v>15</v>
      </c>
      <c r="H30" s="5">
        <v>1</v>
      </c>
      <c r="I30" s="5" t="s">
        <v>10</v>
      </c>
      <c r="J30" s="6">
        <f>SUM(C14,I20)</f>
        <v>69.599999999999994</v>
      </c>
      <c r="K30" s="5" t="s">
        <v>14</v>
      </c>
      <c r="L30" s="5" t="s">
        <v>10</v>
      </c>
    </row>
    <row r="31" spans="2:12" x14ac:dyDescent="0.25">
      <c r="E31" s="4">
        <f>SUM(B15,J31)</f>
        <v>146.39999999999998</v>
      </c>
      <c r="F31" s="7">
        <v>14</v>
      </c>
      <c r="G31" s="7" t="s">
        <v>15</v>
      </c>
      <c r="H31" s="5">
        <v>0</v>
      </c>
      <c r="I31" s="5" t="s">
        <v>10</v>
      </c>
      <c r="J31" s="6">
        <f>SUM(C15,I21)</f>
        <v>75.399999999999991</v>
      </c>
      <c r="K31" s="5" t="s">
        <v>14</v>
      </c>
      <c r="L31" s="5" t="s">
        <v>10</v>
      </c>
    </row>
    <row r="32" spans="2:12" x14ac:dyDescent="0.25">
      <c r="E32" s="4">
        <f>SUM(B16,J32)</f>
        <v>155.60000000000002</v>
      </c>
      <c r="F32" s="7">
        <v>15</v>
      </c>
      <c r="G32" s="7" t="s">
        <v>15</v>
      </c>
      <c r="H32" s="5" t="s">
        <v>10</v>
      </c>
      <c r="I32" s="5" t="s">
        <v>10</v>
      </c>
      <c r="J32" s="6">
        <f>SUM(C16,I23)</f>
        <v>80.600000000000009</v>
      </c>
      <c r="K32" s="5" t="s">
        <v>12</v>
      </c>
      <c r="L32" s="5">
        <v>140.6</v>
      </c>
    </row>
    <row r="33" spans="5:12" x14ac:dyDescent="0.25">
      <c r="E33" s="2" t="s">
        <v>17</v>
      </c>
      <c r="F33" s="2"/>
      <c r="G33" s="2"/>
      <c r="H33" s="9" t="s">
        <v>18</v>
      </c>
      <c r="I33" s="10"/>
      <c r="J33" s="2">
        <f>SUM(J5:J32)/15</f>
        <v>41.45333333333334</v>
      </c>
      <c r="K33" s="2"/>
      <c r="L33" s="11" t="s">
        <v>19</v>
      </c>
    </row>
  </sheetData>
  <mergeCells count="1">
    <mergeCell ref="H33:I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H16"/>
  <sheetViews>
    <sheetView tabSelected="1" workbookViewId="0">
      <selection activeCell="D4" sqref="D4"/>
    </sheetView>
  </sheetViews>
  <sheetFormatPr defaultColWidth="14.42578125" defaultRowHeight="15.75" customHeight="1" x14ac:dyDescent="0.2"/>
  <cols>
    <col min="1" max="2" width="14.42578125" style="12"/>
    <col min="3" max="3" width="19.140625" style="12" bestFit="1" customWidth="1"/>
    <col min="4" max="4" width="34" style="12" bestFit="1" customWidth="1"/>
    <col min="5" max="5" width="23.140625" style="12" bestFit="1" customWidth="1"/>
    <col min="6" max="6" width="23.5703125" style="12" bestFit="1" customWidth="1"/>
    <col min="7" max="7" width="17.5703125" style="12" bestFit="1" customWidth="1"/>
    <col min="8" max="16384" width="14.42578125" style="12"/>
  </cols>
  <sheetData>
    <row r="1" spans="2:8" x14ac:dyDescent="0.2">
      <c r="B1" s="16" t="s">
        <v>0</v>
      </c>
      <c r="C1" s="16" t="s">
        <v>24</v>
      </c>
      <c r="D1" s="16" t="s">
        <v>23</v>
      </c>
      <c r="E1" s="16" t="s">
        <v>22</v>
      </c>
      <c r="F1" s="16" t="s">
        <v>6</v>
      </c>
      <c r="G1" s="16" t="s">
        <v>21</v>
      </c>
      <c r="H1" s="17" t="s">
        <v>20</v>
      </c>
    </row>
    <row r="2" spans="2:8" x14ac:dyDescent="0.2">
      <c r="B2" s="13">
        <v>1</v>
      </c>
      <c r="C2" s="14">
        <v>15</v>
      </c>
      <c r="D2" s="14">
        <v>15</v>
      </c>
      <c r="E2" s="15">
        <f>SUM(D2, H2)</f>
        <v>26.5</v>
      </c>
      <c r="F2" s="14">
        <v>0</v>
      </c>
      <c r="G2" s="15">
        <f>SUM(F2, H2)</f>
        <v>11.5</v>
      </c>
      <c r="H2" s="14">
        <v>11.5</v>
      </c>
    </row>
    <row r="3" spans="2:8" x14ac:dyDescent="0.2">
      <c r="B3" s="13">
        <v>2</v>
      </c>
      <c r="C3" s="13">
        <v>22.4</v>
      </c>
      <c r="D3" s="15">
        <f>SUM(C3, F3)</f>
        <v>26.5</v>
      </c>
      <c r="E3" s="15">
        <f>SUM(D3, H3)</f>
        <v>35.200000000000003</v>
      </c>
      <c r="F3" s="15">
        <f>SUM(E2, -C3)</f>
        <v>4.1000000000000014</v>
      </c>
      <c r="G3" s="15">
        <f>SUM(F3, H3)</f>
        <v>12.8</v>
      </c>
      <c r="H3" s="14">
        <v>8.6999999999999993</v>
      </c>
    </row>
    <row r="4" spans="2:8" x14ac:dyDescent="0.2">
      <c r="B4" s="13">
        <v>3</v>
      </c>
      <c r="C4" s="13">
        <v>31.5</v>
      </c>
      <c r="D4" s="15">
        <f>SUM(C4, F4)</f>
        <v>35.200000000000003</v>
      </c>
      <c r="E4" s="15">
        <f>SUM(D4, H4)</f>
        <v>44.5</v>
      </c>
      <c r="F4" s="15">
        <f>SUM(E3, -C4)</f>
        <v>3.7000000000000028</v>
      </c>
      <c r="G4" s="15">
        <f>SUM(F4, H4)</f>
        <v>13.000000000000004</v>
      </c>
      <c r="H4" s="14">
        <v>9.3000000000000007</v>
      </c>
    </row>
    <row r="5" spans="2:8" x14ac:dyDescent="0.2">
      <c r="B5" s="13">
        <v>4</v>
      </c>
      <c r="C5" s="14">
        <v>40</v>
      </c>
      <c r="D5" s="15">
        <f>SUM(C5, F5)</f>
        <v>44.5</v>
      </c>
      <c r="E5" s="15">
        <f>SUM(D5, H5)</f>
        <v>55</v>
      </c>
      <c r="F5" s="15">
        <f>SUM(E4, -C5)</f>
        <v>4.5</v>
      </c>
      <c r="G5" s="15">
        <f>SUM(F5, H5)</f>
        <v>15</v>
      </c>
      <c r="H5" s="14">
        <v>10.5</v>
      </c>
    </row>
    <row r="6" spans="2:8" x14ac:dyDescent="0.2">
      <c r="B6" s="13">
        <v>5</v>
      </c>
      <c r="C6" s="14">
        <v>42.8</v>
      </c>
      <c r="D6" s="15">
        <f>SUM(C6, F6)</f>
        <v>55</v>
      </c>
      <c r="E6" s="15">
        <f>SUM(D6, H6)</f>
        <v>63.6</v>
      </c>
      <c r="F6" s="15">
        <f>SUM(E5, -C6)</f>
        <v>12.200000000000003</v>
      </c>
      <c r="G6" s="15">
        <f>SUM(F6, H6)</f>
        <v>20.800000000000004</v>
      </c>
      <c r="H6" s="14">
        <v>8.6</v>
      </c>
    </row>
    <row r="7" spans="2:8" x14ac:dyDescent="0.2">
      <c r="B7" s="13">
        <v>6</v>
      </c>
      <c r="C7" s="14">
        <v>43</v>
      </c>
      <c r="D7" s="15">
        <f>SUM(C7, F7)</f>
        <v>63.6</v>
      </c>
      <c r="E7" s="15">
        <f>SUM(D7, H7)</f>
        <v>73.400000000000006</v>
      </c>
      <c r="F7" s="15">
        <f>SUM(E6, -C7)</f>
        <v>20.6</v>
      </c>
      <c r="G7" s="15">
        <f>SUM(F7, H7)</f>
        <v>30.400000000000002</v>
      </c>
      <c r="H7" s="14">
        <v>9.8000000000000007</v>
      </c>
    </row>
    <row r="8" spans="2:8" x14ac:dyDescent="0.2">
      <c r="B8" s="13">
        <v>7</v>
      </c>
      <c r="C8" s="14">
        <v>48.4</v>
      </c>
      <c r="D8" s="15">
        <f>SUM(C8, F8)</f>
        <v>73.400000000000006</v>
      </c>
      <c r="E8" s="15">
        <f>SUM(D8, H8)</f>
        <v>82.100000000000009</v>
      </c>
      <c r="F8" s="15">
        <f>SUM(E7, -C8)</f>
        <v>25.000000000000007</v>
      </c>
      <c r="G8" s="15">
        <f>SUM(F8, H8)</f>
        <v>33.700000000000003</v>
      </c>
      <c r="H8" s="14">
        <v>8.6999999999999993</v>
      </c>
    </row>
    <row r="9" spans="2:8" x14ac:dyDescent="0.2">
      <c r="B9" s="13">
        <v>8</v>
      </c>
      <c r="C9" s="14">
        <v>50.5</v>
      </c>
      <c r="D9" s="15">
        <f>SUM(C9, F9)</f>
        <v>82.100000000000009</v>
      </c>
      <c r="E9" s="15">
        <f>SUM(D9, H9)</f>
        <v>91.600000000000009</v>
      </c>
      <c r="F9" s="15">
        <f>SUM(E8, -C9)</f>
        <v>31.600000000000009</v>
      </c>
      <c r="G9" s="15">
        <f>SUM(F9, H9)</f>
        <v>41.100000000000009</v>
      </c>
      <c r="H9" s="14">
        <v>9.5</v>
      </c>
    </row>
    <row r="10" spans="2:8" x14ac:dyDescent="0.2">
      <c r="B10" s="13">
        <v>9</v>
      </c>
      <c r="C10" s="14">
        <v>55.8</v>
      </c>
      <c r="D10" s="15">
        <f>SUM(C10, F10)</f>
        <v>91.600000000000009</v>
      </c>
      <c r="E10" s="15">
        <f>SUM(D10, H10)</f>
        <v>100.60000000000001</v>
      </c>
      <c r="F10" s="15">
        <f>SUM(E9, -C10)</f>
        <v>35.800000000000011</v>
      </c>
      <c r="G10" s="15">
        <f>SUM(F10, H10)</f>
        <v>44.800000000000011</v>
      </c>
      <c r="H10" s="14">
        <v>9</v>
      </c>
    </row>
    <row r="11" spans="2:8" x14ac:dyDescent="0.2">
      <c r="B11" s="13">
        <v>10</v>
      </c>
      <c r="C11" s="14">
        <v>58</v>
      </c>
      <c r="D11" s="15">
        <f>SUM(C11, F11)</f>
        <v>100.60000000000001</v>
      </c>
      <c r="E11" s="15">
        <f>SUM(D11, H11)</f>
        <v>110.60000000000001</v>
      </c>
      <c r="F11" s="15">
        <f>SUM(E10, -C11)</f>
        <v>42.600000000000009</v>
      </c>
      <c r="G11" s="15">
        <f>SUM(F11, H11)</f>
        <v>52.600000000000009</v>
      </c>
      <c r="H11" s="14">
        <v>10</v>
      </c>
    </row>
    <row r="12" spans="2:8" x14ac:dyDescent="0.2">
      <c r="B12" s="13">
        <v>11</v>
      </c>
      <c r="C12" s="14">
        <v>61</v>
      </c>
      <c r="D12" s="15">
        <f>SUM(C12, F12)</f>
        <v>110.60000000000001</v>
      </c>
      <c r="E12" s="15">
        <f>SUM(D12, H12)</f>
        <v>118.9</v>
      </c>
      <c r="F12" s="15">
        <f>SUM(E11, -C12)</f>
        <v>49.600000000000009</v>
      </c>
      <c r="G12" s="15">
        <f>SUM(F12, H12)</f>
        <v>57.900000000000006</v>
      </c>
      <c r="H12" s="14">
        <v>8.3000000000000007</v>
      </c>
    </row>
    <row r="13" spans="2:8" x14ac:dyDescent="0.2">
      <c r="B13" s="13">
        <v>12</v>
      </c>
      <c r="C13" s="14">
        <v>64.5</v>
      </c>
      <c r="D13" s="15">
        <f>SUM(C13, F13)</f>
        <v>118.9</v>
      </c>
      <c r="E13" s="15">
        <f>SUM(D13, H13)</f>
        <v>127.10000000000001</v>
      </c>
      <c r="F13" s="15">
        <f>SUM(E12, -C13)</f>
        <v>54.400000000000006</v>
      </c>
      <c r="G13" s="15">
        <f>SUM(F13, H13)</f>
        <v>62.600000000000009</v>
      </c>
      <c r="H13" s="14">
        <v>8.1999999999999993</v>
      </c>
    </row>
    <row r="14" spans="2:8" x14ac:dyDescent="0.2">
      <c r="B14" s="13">
        <v>13</v>
      </c>
      <c r="C14" s="14">
        <v>67</v>
      </c>
      <c r="D14" s="15">
        <f>SUM(C14, F14)</f>
        <v>127.10000000000001</v>
      </c>
      <c r="E14" s="15">
        <f>SUM(D14, H14)</f>
        <v>136.60000000000002</v>
      </c>
      <c r="F14" s="15">
        <f>SUM(E13, -C14)</f>
        <v>60.100000000000009</v>
      </c>
      <c r="G14" s="15">
        <f>SUM(F14, H14)</f>
        <v>69.600000000000009</v>
      </c>
      <c r="H14" s="14">
        <v>9.5</v>
      </c>
    </row>
    <row r="15" spans="2:8" x14ac:dyDescent="0.2">
      <c r="B15" s="13">
        <v>14</v>
      </c>
      <c r="C15" s="14">
        <v>71</v>
      </c>
      <c r="D15" s="15">
        <f>SUM(C15, F15)</f>
        <v>136.60000000000002</v>
      </c>
      <c r="E15" s="15">
        <f>SUM(D15, H15)</f>
        <v>146.40000000000003</v>
      </c>
      <c r="F15" s="15">
        <f>SUM(E14, -C15)</f>
        <v>65.600000000000023</v>
      </c>
      <c r="G15" s="15">
        <f>SUM(F15, H15)</f>
        <v>75.40000000000002</v>
      </c>
      <c r="H15" s="14">
        <v>9.8000000000000007</v>
      </c>
    </row>
    <row r="16" spans="2:8" x14ac:dyDescent="0.2">
      <c r="B16" s="13">
        <v>15</v>
      </c>
      <c r="C16" s="14">
        <v>75</v>
      </c>
      <c r="D16" s="15">
        <f>SUM(C16, F16)</f>
        <v>146.40000000000003</v>
      </c>
      <c r="E16" s="15">
        <f>SUM(D16, H16)</f>
        <v>155.60000000000002</v>
      </c>
      <c r="F16" s="15">
        <f>SUM(E15, -C16)</f>
        <v>71.400000000000034</v>
      </c>
      <c r="G16" s="15">
        <f>SUM(F16, H16)</f>
        <v>80.600000000000037</v>
      </c>
      <c r="H16" s="14">
        <v>9.1999999999999993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Orientada a eventos</vt:lpstr>
      <vt:lpstr>Orientada a processos</vt:lpstr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Gassen</dc:creator>
  <cp:lastModifiedBy>Frederico Gassen</cp:lastModifiedBy>
  <dcterms:created xsi:type="dcterms:W3CDTF">2019-08-27T13:42:11Z</dcterms:created>
  <dcterms:modified xsi:type="dcterms:W3CDTF">2019-08-27T14:53:36Z</dcterms:modified>
</cp:coreProperties>
</file>